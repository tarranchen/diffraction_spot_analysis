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.tarran\Downloads\"/>
    </mc:Choice>
  </mc:AlternateContent>
  <xr:revisionPtr revIDLastSave="0" documentId="8_{77BA7C64-67F4-44C6-B930-FBAA727F0806}" xr6:coauthVersionLast="47" xr6:coauthVersionMax="47" xr10:uidLastSave="{00000000-0000-0000-0000-000000000000}"/>
  <bookViews>
    <workbookView xWindow="390" yWindow="390" windowWidth="25665" windowHeight="13275" xr2:uid="{50BB82AB-B257-43D8-87F3-EA1B603B51A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2" i="1"/>
  <c r="D2" i="1"/>
  <c r="D6" i="1"/>
  <c r="D3" i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</calcChain>
</file>

<file path=xl/sharedStrings.xml><?xml version="1.0" encoding="utf-8"?>
<sst xmlns="http://schemas.openxmlformats.org/spreadsheetml/2006/main" count="6" uniqueCount="6">
  <si>
    <t>Degree (theta)</t>
    <phoneticPr fontId="1" type="noConversion"/>
  </si>
  <si>
    <t>Y (pixel)</t>
    <phoneticPr fontId="1" type="noConversion"/>
  </si>
  <si>
    <t>100s</t>
    <phoneticPr fontId="1" type="noConversion"/>
  </si>
  <si>
    <t>frame</t>
    <phoneticPr fontId="1" type="noConversion"/>
  </si>
  <si>
    <t>shifted Y</t>
    <phoneticPr fontId="1" type="noConversion"/>
  </si>
  <si>
    <t>Location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</si>
</sst>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0044-0180-480F-9985-A571CFCD6054}">
  <dimension ref="A1:K144"/>
  <sheetViews>
    <sheetView tabSelected="1" workbookViewId="0">
      <selection activeCell="F1" sqref="F1"/>
    </sheetView>
  </sheetViews>
  <sheetFormatPr defaultRowHeight="16.5" x14ac:dyDescent="0.25"/>
  <cols>
    <col min="4" max="4" width="9" style="2"/>
    <col min="7" max="7" width="12" style="1" customWidth="1"/>
  </cols>
  <sheetData>
    <row r="1" spans="1:11" x14ac:dyDescent="0.25">
      <c r="A1" t="s">
        <v>4</v>
      </c>
      <c r="B1" t="s">
        <v>2</v>
      </c>
      <c r="C1" t="s">
        <v>3</v>
      </c>
      <c r="F1" t="s">
        <v>5</v>
      </c>
      <c r="G1" s="1" t="s">
        <v>0</v>
      </c>
      <c r="H1" t="s">
        <v>1</v>
      </c>
    </row>
    <row r="2" spans="1:11" x14ac:dyDescent="0.25">
      <c r="A2">
        <v>3168</v>
      </c>
      <c r="B2">
        <v>0</v>
      </c>
      <c r="C2">
        <v>41</v>
      </c>
      <c r="D2" s="2">
        <f>(A2+3-(99-C2)*32)/5</f>
        <v>263</v>
      </c>
      <c r="F2">
        <f>B2+1</f>
        <v>1</v>
      </c>
      <c r="G2" s="1">
        <f>8+C2*0.02</f>
        <v>8.82</v>
      </c>
      <c r="H2" s="2">
        <f>D2</f>
        <v>263</v>
      </c>
    </row>
    <row r="3" spans="1:11" x14ac:dyDescent="0.25">
      <c r="A3">
        <v>3094</v>
      </c>
      <c r="B3">
        <v>0</v>
      </c>
      <c r="C3">
        <v>42</v>
      </c>
      <c r="D3" s="2">
        <f t="shared" ref="D3:D66" si="0">(A3+3-(99-C3)*32)/5</f>
        <v>254.6</v>
      </c>
      <c r="F3">
        <f t="shared" ref="F3:F66" si="1">B3+1</f>
        <v>1</v>
      </c>
      <c r="G3" s="1">
        <f t="shared" ref="G3:G66" si="2">8+C3*0.02</f>
        <v>8.84</v>
      </c>
      <c r="H3" s="2">
        <f t="shared" ref="H3:H66" si="3">D3</f>
        <v>254.6</v>
      </c>
    </row>
    <row r="4" spans="1:11" x14ac:dyDescent="0.25">
      <c r="A4">
        <v>3121</v>
      </c>
      <c r="B4">
        <v>0</v>
      </c>
      <c r="C4">
        <v>42</v>
      </c>
      <c r="D4" s="2">
        <f t="shared" si="0"/>
        <v>260</v>
      </c>
      <c r="F4">
        <f t="shared" si="1"/>
        <v>1</v>
      </c>
      <c r="G4" s="1">
        <f t="shared" si="2"/>
        <v>8.84</v>
      </c>
      <c r="H4" s="2">
        <f t="shared" si="3"/>
        <v>260</v>
      </c>
    </row>
    <row r="5" spans="1:11" x14ac:dyDescent="0.25">
      <c r="A5">
        <v>3136</v>
      </c>
      <c r="B5">
        <v>0</v>
      </c>
      <c r="C5">
        <v>42</v>
      </c>
      <c r="D5" s="2">
        <f t="shared" si="0"/>
        <v>263</v>
      </c>
      <c r="F5">
        <f t="shared" si="1"/>
        <v>1</v>
      </c>
      <c r="G5" s="1">
        <f t="shared" si="2"/>
        <v>8.84</v>
      </c>
      <c r="H5" s="2">
        <f t="shared" si="3"/>
        <v>263</v>
      </c>
    </row>
    <row r="6" spans="1:11" x14ac:dyDescent="0.25">
      <c r="A6">
        <v>3207</v>
      </c>
      <c r="B6">
        <v>1</v>
      </c>
      <c r="C6">
        <v>38</v>
      </c>
      <c r="D6" s="2">
        <f>(A6+3-(99-C6)*32)/5</f>
        <v>251.6</v>
      </c>
      <c r="F6">
        <f t="shared" si="1"/>
        <v>2</v>
      </c>
      <c r="G6" s="1">
        <f t="shared" si="2"/>
        <v>8.76</v>
      </c>
      <c r="H6" s="2">
        <f t="shared" si="3"/>
        <v>251.6</v>
      </c>
    </row>
    <row r="7" spans="1:11" x14ac:dyDescent="0.25">
      <c r="A7">
        <v>3269</v>
      </c>
      <c r="B7">
        <v>1</v>
      </c>
      <c r="C7">
        <v>38</v>
      </c>
      <c r="D7" s="2">
        <f t="shared" si="0"/>
        <v>264</v>
      </c>
      <c r="F7">
        <f t="shared" si="1"/>
        <v>2</v>
      </c>
      <c r="G7" s="1">
        <f t="shared" si="2"/>
        <v>8.76</v>
      </c>
      <c r="H7" s="2">
        <f t="shared" si="3"/>
        <v>264</v>
      </c>
    </row>
    <row r="8" spans="1:11" x14ac:dyDescent="0.25">
      <c r="A8">
        <v>3237</v>
      </c>
      <c r="B8">
        <v>1</v>
      </c>
      <c r="C8">
        <v>39</v>
      </c>
      <c r="D8" s="2">
        <f t="shared" si="0"/>
        <v>264</v>
      </c>
      <c r="F8">
        <f t="shared" si="1"/>
        <v>2</v>
      </c>
      <c r="G8" s="1">
        <f t="shared" si="2"/>
        <v>8.7799999999999994</v>
      </c>
      <c r="H8" s="2">
        <f t="shared" si="3"/>
        <v>264</v>
      </c>
    </row>
    <row r="9" spans="1:11" x14ac:dyDescent="0.25">
      <c r="A9">
        <v>3272</v>
      </c>
      <c r="B9">
        <v>2</v>
      </c>
      <c r="C9">
        <v>36</v>
      </c>
      <c r="D9" s="2">
        <f t="shared" si="0"/>
        <v>251.8</v>
      </c>
      <c r="F9">
        <f t="shared" si="1"/>
        <v>3</v>
      </c>
      <c r="G9" s="1">
        <f t="shared" si="2"/>
        <v>8.7200000000000006</v>
      </c>
      <c r="H9" s="2">
        <f t="shared" si="3"/>
        <v>251.8</v>
      </c>
    </row>
    <row r="10" spans="1:11" x14ac:dyDescent="0.25">
      <c r="A10">
        <v>3291</v>
      </c>
      <c r="B10">
        <v>2</v>
      </c>
      <c r="C10">
        <v>37</v>
      </c>
      <c r="D10" s="2">
        <f t="shared" si="0"/>
        <v>262</v>
      </c>
      <c r="F10">
        <f t="shared" si="1"/>
        <v>3</v>
      </c>
      <c r="G10" s="1">
        <f t="shared" si="2"/>
        <v>8.74</v>
      </c>
      <c r="H10" s="2">
        <f t="shared" si="3"/>
        <v>262</v>
      </c>
    </row>
    <row r="11" spans="1:11" x14ac:dyDescent="0.25">
      <c r="A11">
        <v>3166</v>
      </c>
      <c r="B11">
        <v>2</v>
      </c>
      <c r="C11">
        <v>42</v>
      </c>
      <c r="D11" s="2">
        <f t="shared" si="0"/>
        <v>269</v>
      </c>
      <c r="F11">
        <f t="shared" si="1"/>
        <v>3</v>
      </c>
      <c r="G11" s="1">
        <f t="shared" si="2"/>
        <v>8.84</v>
      </c>
      <c r="H11" s="2">
        <f t="shared" si="3"/>
        <v>269</v>
      </c>
    </row>
    <row r="12" spans="1:11" x14ac:dyDescent="0.25">
      <c r="A12">
        <v>3176</v>
      </c>
      <c r="B12">
        <v>2</v>
      </c>
      <c r="C12">
        <v>42</v>
      </c>
      <c r="D12" s="2">
        <f t="shared" si="0"/>
        <v>271</v>
      </c>
      <c r="F12">
        <f t="shared" si="1"/>
        <v>3</v>
      </c>
      <c r="G12" s="1">
        <f t="shared" si="2"/>
        <v>8.84</v>
      </c>
      <c r="H12" s="2">
        <f t="shared" si="3"/>
        <v>271</v>
      </c>
      <c r="K12" s="3"/>
    </row>
    <row r="13" spans="1:11" x14ac:dyDescent="0.25">
      <c r="A13">
        <v>3134</v>
      </c>
      <c r="B13">
        <v>2</v>
      </c>
      <c r="C13">
        <v>43</v>
      </c>
      <c r="D13" s="2">
        <f t="shared" si="0"/>
        <v>269</v>
      </c>
      <c r="F13">
        <f t="shared" si="1"/>
        <v>3</v>
      </c>
      <c r="G13" s="1">
        <f t="shared" si="2"/>
        <v>8.86</v>
      </c>
      <c r="H13" s="2">
        <f t="shared" si="3"/>
        <v>269</v>
      </c>
    </row>
    <row r="14" spans="1:11" x14ac:dyDescent="0.25">
      <c r="A14">
        <v>3144</v>
      </c>
      <c r="B14">
        <v>2</v>
      </c>
      <c r="C14">
        <v>43</v>
      </c>
      <c r="D14" s="2">
        <f t="shared" si="0"/>
        <v>271</v>
      </c>
      <c r="F14">
        <f t="shared" si="1"/>
        <v>3</v>
      </c>
      <c r="G14" s="1">
        <f t="shared" si="2"/>
        <v>8.86</v>
      </c>
      <c r="H14" s="2">
        <f t="shared" si="3"/>
        <v>271</v>
      </c>
    </row>
    <row r="15" spans="1:11" x14ac:dyDescent="0.25">
      <c r="A15">
        <v>3235</v>
      </c>
      <c r="B15">
        <v>3</v>
      </c>
      <c r="C15">
        <v>38</v>
      </c>
      <c r="D15" s="2">
        <f t="shared" si="0"/>
        <v>257.2</v>
      </c>
      <c r="F15">
        <f t="shared" si="1"/>
        <v>4</v>
      </c>
      <c r="G15" s="1">
        <f t="shared" si="2"/>
        <v>8.76</v>
      </c>
      <c r="H15" s="2">
        <f t="shared" si="3"/>
        <v>257.2</v>
      </c>
    </row>
    <row r="16" spans="1:11" x14ac:dyDescent="0.25">
      <c r="A16">
        <v>3190</v>
      </c>
      <c r="B16">
        <v>3</v>
      </c>
      <c r="C16">
        <v>39</v>
      </c>
      <c r="D16" s="2">
        <f t="shared" si="0"/>
        <v>254.6</v>
      </c>
      <c r="F16">
        <f t="shared" si="1"/>
        <v>4</v>
      </c>
      <c r="G16" s="1">
        <f t="shared" si="2"/>
        <v>8.7799999999999994</v>
      </c>
      <c r="H16" s="2">
        <f t="shared" si="3"/>
        <v>254.6</v>
      </c>
    </row>
    <row r="17" spans="1:8" x14ac:dyDescent="0.25">
      <c r="A17">
        <v>3217</v>
      </c>
      <c r="B17">
        <v>3</v>
      </c>
      <c r="C17">
        <v>39</v>
      </c>
      <c r="D17" s="2">
        <f t="shared" si="0"/>
        <v>260</v>
      </c>
      <c r="F17">
        <f t="shared" si="1"/>
        <v>4</v>
      </c>
      <c r="G17" s="1">
        <f t="shared" si="2"/>
        <v>8.7799999999999994</v>
      </c>
      <c r="H17" s="2">
        <f t="shared" si="3"/>
        <v>260</v>
      </c>
    </row>
    <row r="18" spans="1:8" x14ac:dyDescent="0.25">
      <c r="A18">
        <v>3247</v>
      </c>
      <c r="B18">
        <v>3</v>
      </c>
      <c r="C18">
        <v>39</v>
      </c>
      <c r="D18" s="2">
        <f t="shared" si="0"/>
        <v>266</v>
      </c>
      <c r="F18">
        <f t="shared" si="1"/>
        <v>4</v>
      </c>
      <c r="G18" s="1">
        <f t="shared" si="2"/>
        <v>8.7799999999999994</v>
      </c>
      <c r="H18" s="2">
        <f t="shared" si="3"/>
        <v>266</v>
      </c>
    </row>
    <row r="19" spans="1:8" x14ac:dyDescent="0.25">
      <c r="A19">
        <v>3343</v>
      </c>
      <c r="B19">
        <v>4</v>
      </c>
      <c r="C19">
        <v>36</v>
      </c>
      <c r="D19" s="2">
        <f t="shared" si="0"/>
        <v>266</v>
      </c>
      <c r="F19">
        <f t="shared" si="1"/>
        <v>5</v>
      </c>
      <c r="G19" s="1">
        <f t="shared" si="2"/>
        <v>8.7200000000000006</v>
      </c>
      <c r="H19" s="2">
        <f t="shared" si="3"/>
        <v>266</v>
      </c>
    </row>
    <row r="20" spans="1:8" x14ac:dyDescent="0.25">
      <c r="A20">
        <v>3294</v>
      </c>
      <c r="B20">
        <v>4</v>
      </c>
      <c r="C20">
        <v>37</v>
      </c>
      <c r="D20" s="2">
        <f t="shared" si="0"/>
        <v>262.60000000000002</v>
      </c>
      <c r="F20">
        <f t="shared" si="1"/>
        <v>5</v>
      </c>
      <c r="G20" s="1">
        <f t="shared" si="2"/>
        <v>8.74</v>
      </c>
      <c r="H20" s="2">
        <f t="shared" si="3"/>
        <v>262.60000000000002</v>
      </c>
    </row>
    <row r="21" spans="1:8" x14ac:dyDescent="0.25">
      <c r="A21">
        <v>3311</v>
      </c>
      <c r="B21">
        <v>4</v>
      </c>
      <c r="C21">
        <v>37</v>
      </c>
      <c r="D21" s="2">
        <f t="shared" si="0"/>
        <v>266</v>
      </c>
      <c r="F21">
        <f t="shared" si="1"/>
        <v>5</v>
      </c>
      <c r="G21" s="1">
        <f t="shared" si="2"/>
        <v>8.74</v>
      </c>
      <c r="H21" s="2">
        <f t="shared" si="3"/>
        <v>266</v>
      </c>
    </row>
    <row r="22" spans="1:8" x14ac:dyDescent="0.25">
      <c r="A22">
        <v>3367</v>
      </c>
      <c r="B22">
        <v>5</v>
      </c>
      <c r="C22">
        <v>33</v>
      </c>
      <c r="D22" s="2">
        <f t="shared" si="0"/>
        <v>251.6</v>
      </c>
      <c r="F22">
        <f t="shared" si="1"/>
        <v>6</v>
      </c>
      <c r="G22" s="1">
        <f t="shared" si="2"/>
        <v>8.66</v>
      </c>
      <c r="H22" s="2">
        <f t="shared" si="3"/>
        <v>251.6</v>
      </c>
    </row>
    <row r="23" spans="1:8" x14ac:dyDescent="0.25">
      <c r="A23">
        <v>3387</v>
      </c>
      <c r="B23">
        <v>5</v>
      </c>
      <c r="C23">
        <v>34</v>
      </c>
      <c r="D23" s="2">
        <f t="shared" si="0"/>
        <v>262</v>
      </c>
      <c r="F23">
        <f t="shared" si="1"/>
        <v>6</v>
      </c>
      <c r="G23" s="1">
        <f t="shared" si="2"/>
        <v>8.68</v>
      </c>
      <c r="H23" s="2">
        <f t="shared" si="3"/>
        <v>262</v>
      </c>
    </row>
    <row r="24" spans="1:8" x14ac:dyDescent="0.25">
      <c r="A24">
        <v>3403</v>
      </c>
      <c r="B24">
        <v>5</v>
      </c>
      <c r="C24">
        <v>34</v>
      </c>
      <c r="D24" s="2">
        <f t="shared" si="0"/>
        <v>265.2</v>
      </c>
      <c r="F24">
        <f t="shared" si="1"/>
        <v>6</v>
      </c>
      <c r="G24" s="1">
        <f t="shared" si="2"/>
        <v>8.68</v>
      </c>
      <c r="H24" s="2">
        <f t="shared" si="3"/>
        <v>265.2</v>
      </c>
    </row>
    <row r="25" spans="1:8" x14ac:dyDescent="0.25">
      <c r="A25">
        <v>3254</v>
      </c>
      <c r="B25">
        <v>5</v>
      </c>
      <c r="C25">
        <v>37</v>
      </c>
      <c r="D25" s="2">
        <f t="shared" si="0"/>
        <v>254.6</v>
      </c>
      <c r="F25">
        <f t="shared" si="1"/>
        <v>6</v>
      </c>
      <c r="G25" s="1">
        <f t="shared" si="2"/>
        <v>8.74</v>
      </c>
      <c r="H25" s="2">
        <f t="shared" si="3"/>
        <v>254.6</v>
      </c>
    </row>
    <row r="26" spans="1:8" x14ac:dyDescent="0.25">
      <c r="A26">
        <v>3316</v>
      </c>
      <c r="B26">
        <v>5</v>
      </c>
      <c r="C26">
        <v>37</v>
      </c>
      <c r="D26" s="2">
        <f t="shared" si="0"/>
        <v>267</v>
      </c>
      <c r="F26">
        <f t="shared" si="1"/>
        <v>6</v>
      </c>
      <c r="G26" s="1">
        <f t="shared" si="2"/>
        <v>8.74</v>
      </c>
      <c r="H26" s="2">
        <f t="shared" si="3"/>
        <v>267</v>
      </c>
    </row>
    <row r="27" spans="1:8" x14ac:dyDescent="0.25">
      <c r="A27">
        <v>3289</v>
      </c>
      <c r="B27">
        <v>5</v>
      </c>
      <c r="C27">
        <v>38</v>
      </c>
      <c r="D27" s="2">
        <f t="shared" si="0"/>
        <v>268</v>
      </c>
      <c r="F27">
        <f t="shared" si="1"/>
        <v>6</v>
      </c>
      <c r="G27" s="1">
        <f t="shared" si="2"/>
        <v>8.76</v>
      </c>
      <c r="H27" s="2">
        <f t="shared" si="3"/>
        <v>268</v>
      </c>
    </row>
    <row r="28" spans="1:8" x14ac:dyDescent="0.25">
      <c r="A28">
        <v>3350</v>
      </c>
      <c r="B28">
        <v>6</v>
      </c>
      <c r="C28">
        <v>34</v>
      </c>
      <c r="D28" s="2">
        <f t="shared" si="0"/>
        <v>254.6</v>
      </c>
      <c r="F28">
        <f t="shared" si="1"/>
        <v>7</v>
      </c>
      <c r="G28" s="1">
        <f t="shared" si="2"/>
        <v>8.68</v>
      </c>
      <c r="H28" s="2">
        <f t="shared" si="3"/>
        <v>254.6</v>
      </c>
    </row>
    <row r="29" spans="1:8" x14ac:dyDescent="0.25">
      <c r="A29">
        <v>3402</v>
      </c>
      <c r="B29">
        <v>6</v>
      </c>
      <c r="C29">
        <v>34</v>
      </c>
      <c r="D29" s="2">
        <f t="shared" si="0"/>
        <v>265</v>
      </c>
      <c r="F29">
        <f t="shared" si="1"/>
        <v>7</v>
      </c>
      <c r="G29" s="1">
        <f t="shared" si="2"/>
        <v>8.68</v>
      </c>
      <c r="H29" s="2">
        <f t="shared" si="3"/>
        <v>265</v>
      </c>
    </row>
    <row r="30" spans="1:8" x14ac:dyDescent="0.25">
      <c r="A30">
        <v>3370</v>
      </c>
      <c r="B30">
        <v>6</v>
      </c>
      <c r="C30">
        <v>35</v>
      </c>
      <c r="D30" s="2">
        <f t="shared" si="0"/>
        <v>265</v>
      </c>
      <c r="F30">
        <f t="shared" si="1"/>
        <v>7</v>
      </c>
      <c r="G30" s="1">
        <f t="shared" si="2"/>
        <v>8.6999999999999993</v>
      </c>
      <c r="H30" s="2">
        <f t="shared" si="3"/>
        <v>265</v>
      </c>
    </row>
    <row r="31" spans="1:8" x14ac:dyDescent="0.25">
      <c r="A31">
        <v>3126</v>
      </c>
      <c r="B31">
        <v>6</v>
      </c>
      <c r="C31">
        <v>41</v>
      </c>
      <c r="D31" s="2">
        <f t="shared" si="0"/>
        <v>254.6</v>
      </c>
      <c r="F31">
        <f t="shared" si="1"/>
        <v>7</v>
      </c>
      <c r="G31" s="1">
        <f t="shared" si="2"/>
        <v>8.82</v>
      </c>
      <c r="H31" s="2">
        <f t="shared" si="3"/>
        <v>254.6</v>
      </c>
    </row>
    <row r="32" spans="1:8" x14ac:dyDescent="0.25">
      <c r="A32">
        <v>3173</v>
      </c>
      <c r="B32">
        <v>6</v>
      </c>
      <c r="C32">
        <v>41</v>
      </c>
      <c r="D32" s="2">
        <f t="shared" si="0"/>
        <v>264</v>
      </c>
      <c r="F32">
        <f t="shared" si="1"/>
        <v>7</v>
      </c>
      <c r="G32" s="1">
        <f t="shared" si="2"/>
        <v>8.82</v>
      </c>
      <c r="H32" s="2">
        <f t="shared" si="3"/>
        <v>264</v>
      </c>
    </row>
    <row r="33" spans="1:8" x14ac:dyDescent="0.25">
      <c r="A33">
        <v>3141</v>
      </c>
      <c r="B33">
        <v>6</v>
      </c>
      <c r="C33">
        <v>42</v>
      </c>
      <c r="D33" s="2">
        <f t="shared" si="0"/>
        <v>264</v>
      </c>
      <c r="F33">
        <f t="shared" si="1"/>
        <v>7</v>
      </c>
      <c r="G33" s="1">
        <f t="shared" si="2"/>
        <v>8.84</v>
      </c>
      <c r="H33" s="2">
        <f t="shared" si="3"/>
        <v>264</v>
      </c>
    </row>
    <row r="34" spans="1:8" x14ac:dyDescent="0.25">
      <c r="A34">
        <v>3207</v>
      </c>
      <c r="B34">
        <v>7</v>
      </c>
      <c r="C34">
        <v>38</v>
      </c>
      <c r="D34" s="2">
        <f t="shared" si="0"/>
        <v>251.6</v>
      </c>
      <c r="F34">
        <f t="shared" si="1"/>
        <v>8</v>
      </c>
      <c r="G34" s="1">
        <f t="shared" si="2"/>
        <v>8.76</v>
      </c>
      <c r="H34" s="2">
        <f t="shared" si="3"/>
        <v>251.6</v>
      </c>
    </row>
    <row r="35" spans="1:8" x14ac:dyDescent="0.25">
      <c r="A35">
        <v>3274</v>
      </c>
      <c r="B35">
        <v>7</v>
      </c>
      <c r="C35">
        <v>38</v>
      </c>
      <c r="D35" s="2">
        <f t="shared" si="0"/>
        <v>265</v>
      </c>
      <c r="F35">
        <f t="shared" si="1"/>
        <v>8</v>
      </c>
      <c r="G35" s="1">
        <f t="shared" si="2"/>
        <v>8.76</v>
      </c>
      <c r="H35" s="2">
        <f t="shared" si="3"/>
        <v>265</v>
      </c>
    </row>
    <row r="36" spans="1:8" x14ac:dyDescent="0.25">
      <c r="A36">
        <v>3226</v>
      </c>
      <c r="B36">
        <v>7</v>
      </c>
      <c r="C36">
        <v>39</v>
      </c>
      <c r="D36" s="2">
        <f t="shared" si="0"/>
        <v>261.8</v>
      </c>
      <c r="F36">
        <f t="shared" si="1"/>
        <v>8</v>
      </c>
      <c r="G36" s="1">
        <f t="shared" si="2"/>
        <v>8.7799999999999994</v>
      </c>
      <c r="H36" s="2">
        <f t="shared" si="3"/>
        <v>261.8</v>
      </c>
    </row>
    <row r="37" spans="1:8" x14ac:dyDescent="0.25">
      <c r="A37">
        <v>3242</v>
      </c>
      <c r="B37">
        <v>7</v>
      </c>
      <c r="C37">
        <v>39</v>
      </c>
      <c r="D37" s="2">
        <f t="shared" si="0"/>
        <v>265</v>
      </c>
      <c r="F37">
        <f t="shared" si="1"/>
        <v>8</v>
      </c>
      <c r="G37" s="1">
        <f t="shared" si="2"/>
        <v>8.7799999999999994</v>
      </c>
      <c r="H37" s="2">
        <f t="shared" si="3"/>
        <v>265</v>
      </c>
    </row>
    <row r="38" spans="1:8" x14ac:dyDescent="0.25">
      <c r="A38">
        <v>3272</v>
      </c>
      <c r="B38">
        <v>8</v>
      </c>
      <c r="C38">
        <v>36</v>
      </c>
      <c r="D38" s="2">
        <f t="shared" si="0"/>
        <v>251.8</v>
      </c>
      <c r="F38">
        <f t="shared" si="1"/>
        <v>9</v>
      </c>
      <c r="G38" s="1">
        <f t="shared" si="2"/>
        <v>8.7200000000000006</v>
      </c>
      <c r="H38" s="2">
        <f t="shared" si="3"/>
        <v>251.8</v>
      </c>
    </row>
    <row r="39" spans="1:8" x14ac:dyDescent="0.25">
      <c r="A39">
        <v>3296</v>
      </c>
      <c r="B39">
        <v>8</v>
      </c>
      <c r="C39">
        <v>37</v>
      </c>
      <c r="D39" s="2">
        <f t="shared" si="0"/>
        <v>263</v>
      </c>
      <c r="F39">
        <f t="shared" si="1"/>
        <v>9</v>
      </c>
      <c r="G39" s="1">
        <f t="shared" si="2"/>
        <v>8.74</v>
      </c>
      <c r="H39" s="2">
        <f t="shared" si="3"/>
        <v>263</v>
      </c>
    </row>
    <row r="40" spans="1:8" x14ac:dyDescent="0.25">
      <c r="A40">
        <v>3136</v>
      </c>
      <c r="B40">
        <v>8</v>
      </c>
      <c r="C40">
        <v>42</v>
      </c>
      <c r="D40" s="2">
        <f t="shared" si="0"/>
        <v>263</v>
      </c>
      <c r="F40">
        <f t="shared" si="1"/>
        <v>9</v>
      </c>
      <c r="G40" s="1">
        <f t="shared" si="2"/>
        <v>8.84</v>
      </c>
      <c r="H40" s="2">
        <f t="shared" si="3"/>
        <v>263</v>
      </c>
    </row>
    <row r="41" spans="1:8" x14ac:dyDescent="0.25">
      <c r="A41">
        <v>3146</v>
      </c>
      <c r="B41">
        <v>8</v>
      </c>
      <c r="C41">
        <v>42</v>
      </c>
      <c r="D41" s="2">
        <f t="shared" si="0"/>
        <v>265</v>
      </c>
      <c r="F41">
        <f t="shared" si="1"/>
        <v>9</v>
      </c>
      <c r="G41" s="1">
        <f t="shared" si="2"/>
        <v>8.84</v>
      </c>
      <c r="H41" s="2">
        <f t="shared" si="3"/>
        <v>265</v>
      </c>
    </row>
    <row r="42" spans="1:8" x14ac:dyDescent="0.25">
      <c r="A42">
        <v>3176</v>
      </c>
      <c r="B42">
        <v>9</v>
      </c>
      <c r="C42">
        <v>39</v>
      </c>
      <c r="D42" s="2">
        <f t="shared" si="0"/>
        <v>251.8</v>
      </c>
      <c r="F42">
        <f t="shared" si="1"/>
        <v>10</v>
      </c>
      <c r="G42" s="1">
        <f t="shared" si="2"/>
        <v>8.7799999999999994</v>
      </c>
      <c r="H42" s="2">
        <f t="shared" si="3"/>
        <v>251.8</v>
      </c>
    </row>
    <row r="43" spans="1:8" x14ac:dyDescent="0.25">
      <c r="A43">
        <v>3190</v>
      </c>
      <c r="B43">
        <v>9</v>
      </c>
      <c r="C43">
        <v>39</v>
      </c>
      <c r="D43" s="2">
        <f t="shared" si="0"/>
        <v>254.6</v>
      </c>
      <c r="F43">
        <f t="shared" si="1"/>
        <v>10</v>
      </c>
      <c r="G43" s="1">
        <f t="shared" si="2"/>
        <v>8.7799999999999994</v>
      </c>
      <c r="H43" s="2">
        <f t="shared" si="3"/>
        <v>254.6</v>
      </c>
    </row>
    <row r="44" spans="1:8" x14ac:dyDescent="0.25">
      <c r="A44">
        <v>3247</v>
      </c>
      <c r="B44">
        <v>9</v>
      </c>
      <c r="C44">
        <v>39</v>
      </c>
      <c r="D44" s="2">
        <f t="shared" si="0"/>
        <v>266</v>
      </c>
      <c r="F44">
        <f t="shared" si="1"/>
        <v>10</v>
      </c>
      <c r="G44" s="1">
        <f t="shared" si="2"/>
        <v>8.7799999999999994</v>
      </c>
      <c r="H44" s="2">
        <f t="shared" si="3"/>
        <v>266</v>
      </c>
    </row>
    <row r="45" spans="1:8" x14ac:dyDescent="0.25">
      <c r="A45">
        <v>3215</v>
      </c>
      <c r="B45">
        <v>9</v>
      </c>
      <c r="C45">
        <v>40</v>
      </c>
      <c r="D45" s="2">
        <f t="shared" si="0"/>
        <v>266</v>
      </c>
      <c r="F45">
        <f t="shared" si="1"/>
        <v>10</v>
      </c>
      <c r="G45" s="1">
        <f t="shared" si="2"/>
        <v>8.8000000000000007</v>
      </c>
      <c r="H45" s="2">
        <f t="shared" si="3"/>
        <v>266</v>
      </c>
    </row>
    <row r="46" spans="1:8" x14ac:dyDescent="0.25">
      <c r="A46">
        <v>3286</v>
      </c>
      <c r="B46">
        <v>10</v>
      </c>
      <c r="C46">
        <v>36</v>
      </c>
      <c r="D46" s="2">
        <f t="shared" si="0"/>
        <v>254.6</v>
      </c>
      <c r="F46">
        <f t="shared" si="1"/>
        <v>11</v>
      </c>
      <c r="G46" s="1">
        <f t="shared" si="2"/>
        <v>8.7200000000000006</v>
      </c>
      <c r="H46" s="2">
        <f t="shared" si="3"/>
        <v>254.6</v>
      </c>
    </row>
    <row r="47" spans="1:8" x14ac:dyDescent="0.25">
      <c r="A47">
        <v>3339</v>
      </c>
      <c r="B47">
        <v>10</v>
      </c>
      <c r="C47">
        <v>36</v>
      </c>
      <c r="D47" s="2">
        <f t="shared" si="0"/>
        <v>265.2</v>
      </c>
      <c r="F47">
        <f t="shared" si="1"/>
        <v>11</v>
      </c>
      <c r="G47" s="1">
        <f t="shared" si="2"/>
        <v>8.7200000000000006</v>
      </c>
      <c r="H47" s="2">
        <f t="shared" si="3"/>
        <v>265.2</v>
      </c>
    </row>
    <row r="48" spans="1:8" x14ac:dyDescent="0.25">
      <c r="A48">
        <v>3311</v>
      </c>
      <c r="B48">
        <v>10</v>
      </c>
      <c r="C48">
        <v>37</v>
      </c>
      <c r="D48" s="2">
        <f t="shared" si="0"/>
        <v>266</v>
      </c>
      <c r="F48">
        <f t="shared" si="1"/>
        <v>11</v>
      </c>
      <c r="G48" s="1">
        <f t="shared" si="2"/>
        <v>8.74</v>
      </c>
      <c r="H48" s="2">
        <f t="shared" si="3"/>
        <v>266</v>
      </c>
    </row>
    <row r="49" spans="1:8" x14ac:dyDescent="0.25">
      <c r="A49">
        <v>3232</v>
      </c>
      <c r="B49">
        <v>10</v>
      </c>
      <c r="C49">
        <v>39</v>
      </c>
      <c r="D49" s="2">
        <f t="shared" si="0"/>
        <v>263</v>
      </c>
      <c r="F49">
        <f t="shared" si="1"/>
        <v>11</v>
      </c>
      <c r="G49" s="1">
        <f t="shared" si="2"/>
        <v>8.7799999999999994</v>
      </c>
      <c r="H49" s="2">
        <f t="shared" si="3"/>
        <v>263</v>
      </c>
    </row>
    <row r="50" spans="1:8" x14ac:dyDescent="0.25">
      <c r="A50">
        <v>3276</v>
      </c>
      <c r="B50">
        <v>10</v>
      </c>
      <c r="C50">
        <v>39</v>
      </c>
      <c r="D50" s="2">
        <f t="shared" si="0"/>
        <v>271.8</v>
      </c>
      <c r="F50">
        <f t="shared" si="1"/>
        <v>11</v>
      </c>
      <c r="G50" s="1">
        <f t="shared" si="2"/>
        <v>8.7799999999999994</v>
      </c>
      <c r="H50" s="2">
        <f t="shared" si="3"/>
        <v>271.8</v>
      </c>
    </row>
    <row r="51" spans="1:8" x14ac:dyDescent="0.25">
      <c r="A51">
        <v>3245</v>
      </c>
      <c r="B51">
        <v>10</v>
      </c>
      <c r="C51">
        <v>40</v>
      </c>
      <c r="D51" s="2">
        <f t="shared" si="0"/>
        <v>272</v>
      </c>
      <c r="F51">
        <f t="shared" si="1"/>
        <v>11</v>
      </c>
      <c r="G51" s="1">
        <f t="shared" si="2"/>
        <v>8.8000000000000007</v>
      </c>
      <c r="H51" s="2">
        <f t="shared" si="3"/>
        <v>272</v>
      </c>
    </row>
    <row r="52" spans="1:8" x14ac:dyDescent="0.25">
      <c r="A52">
        <v>3367</v>
      </c>
      <c r="B52">
        <v>11</v>
      </c>
      <c r="C52">
        <v>33</v>
      </c>
      <c r="D52" s="2">
        <f t="shared" si="0"/>
        <v>251.6</v>
      </c>
      <c r="F52">
        <f t="shared" si="1"/>
        <v>12</v>
      </c>
      <c r="G52" s="1">
        <f t="shared" si="2"/>
        <v>8.66</v>
      </c>
      <c r="H52" s="2">
        <f t="shared" si="3"/>
        <v>251.6</v>
      </c>
    </row>
    <row r="53" spans="1:8" x14ac:dyDescent="0.25">
      <c r="A53">
        <v>3434</v>
      </c>
      <c r="B53">
        <v>11</v>
      </c>
      <c r="C53">
        <v>33</v>
      </c>
      <c r="D53" s="2">
        <f t="shared" si="0"/>
        <v>265</v>
      </c>
      <c r="F53">
        <f t="shared" si="1"/>
        <v>12</v>
      </c>
      <c r="G53" s="1">
        <f t="shared" si="2"/>
        <v>8.66</v>
      </c>
      <c r="H53" s="2">
        <f t="shared" si="3"/>
        <v>265</v>
      </c>
    </row>
    <row r="54" spans="1:8" x14ac:dyDescent="0.25">
      <c r="A54">
        <v>3402</v>
      </c>
      <c r="B54">
        <v>11</v>
      </c>
      <c r="C54">
        <v>34</v>
      </c>
      <c r="D54" s="2">
        <f t="shared" si="0"/>
        <v>265</v>
      </c>
      <c r="F54">
        <f t="shared" si="1"/>
        <v>12</v>
      </c>
      <c r="G54" s="1">
        <f t="shared" si="2"/>
        <v>8.68</v>
      </c>
      <c r="H54" s="2">
        <f t="shared" si="3"/>
        <v>265</v>
      </c>
    </row>
    <row r="55" spans="1:8" x14ac:dyDescent="0.25">
      <c r="A55">
        <v>3350</v>
      </c>
      <c r="B55">
        <v>12</v>
      </c>
      <c r="C55">
        <v>34</v>
      </c>
      <c r="D55" s="2">
        <f t="shared" si="0"/>
        <v>254.6</v>
      </c>
      <c r="F55">
        <f t="shared" si="1"/>
        <v>13</v>
      </c>
      <c r="G55" s="1">
        <f t="shared" si="2"/>
        <v>8.68</v>
      </c>
      <c r="H55" s="2">
        <f t="shared" si="3"/>
        <v>254.6</v>
      </c>
    </row>
    <row r="56" spans="1:8" x14ac:dyDescent="0.25">
      <c r="A56">
        <v>3411</v>
      </c>
      <c r="B56">
        <v>12</v>
      </c>
      <c r="C56">
        <v>35</v>
      </c>
      <c r="D56" s="2">
        <f t="shared" si="0"/>
        <v>273.2</v>
      </c>
      <c r="F56">
        <f t="shared" si="1"/>
        <v>13</v>
      </c>
      <c r="G56" s="1">
        <f t="shared" si="2"/>
        <v>8.6999999999999993</v>
      </c>
      <c r="H56" s="2">
        <f t="shared" si="3"/>
        <v>273.2</v>
      </c>
    </row>
    <row r="57" spans="1:8" x14ac:dyDescent="0.25">
      <c r="A57">
        <v>3368</v>
      </c>
      <c r="B57">
        <v>12</v>
      </c>
      <c r="C57">
        <v>36</v>
      </c>
      <c r="D57" s="2">
        <f t="shared" si="0"/>
        <v>271</v>
      </c>
      <c r="F57">
        <f t="shared" si="1"/>
        <v>13</v>
      </c>
      <c r="G57" s="1">
        <f t="shared" si="2"/>
        <v>8.7200000000000006</v>
      </c>
      <c r="H57" s="2">
        <f t="shared" si="3"/>
        <v>271</v>
      </c>
    </row>
    <row r="58" spans="1:8" x14ac:dyDescent="0.25">
      <c r="A58">
        <v>3379</v>
      </c>
      <c r="B58">
        <v>12</v>
      </c>
      <c r="C58">
        <v>36</v>
      </c>
      <c r="D58" s="2">
        <f t="shared" si="0"/>
        <v>273.2</v>
      </c>
      <c r="F58">
        <f t="shared" si="1"/>
        <v>13</v>
      </c>
      <c r="G58" s="1">
        <f t="shared" si="2"/>
        <v>8.7200000000000006</v>
      </c>
      <c r="H58" s="2">
        <f t="shared" si="3"/>
        <v>273.2</v>
      </c>
    </row>
    <row r="59" spans="1:8" x14ac:dyDescent="0.25">
      <c r="A59">
        <v>3111</v>
      </c>
      <c r="B59">
        <v>12</v>
      </c>
      <c r="C59">
        <v>41</v>
      </c>
      <c r="D59" s="2">
        <f t="shared" si="0"/>
        <v>251.6</v>
      </c>
      <c r="F59">
        <f t="shared" si="1"/>
        <v>13</v>
      </c>
      <c r="G59" s="1">
        <f t="shared" si="2"/>
        <v>8.82</v>
      </c>
      <c r="H59" s="2">
        <f t="shared" si="3"/>
        <v>251.6</v>
      </c>
    </row>
    <row r="60" spans="1:8" x14ac:dyDescent="0.25">
      <c r="A60">
        <v>3126</v>
      </c>
      <c r="B60">
        <v>12</v>
      </c>
      <c r="C60">
        <v>41</v>
      </c>
      <c r="D60" s="2">
        <f t="shared" si="0"/>
        <v>254.6</v>
      </c>
      <c r="F60">
        <f t="shared" si="1"/>
        <v>13</v>
      </c>
      <c r="G60" s="1">
        <f t="shared" si="2"/>
        <v>8.82</v>
      </c>
      <c r="H60" s="2">
        <f t="shared" si="3"/>
        <v>254.6</v>
      </c>
    </row>
    <row r="61" spans="1:8" x14ac:dyDescent="0.25">
      <c r="A61">
        <v>3141</v>
      </c>
      <c r="B61">
        <v>12</v>
      </c>
      <c r="C61">
        <v>42</v>
      </c>
      <c r="D61" s="2">
        <f t="shared" si="0"/>
        <v>264</v>
      </c>
      <c r="F61">
        <f t="shared" si="1"/>
        <v>13</v>
      </c>
      <c r="G61" s="1">
        <f t="shared" si="2"/>
        <v>8.84</v>
      </c>
      <c r="H61" s="2">
        <f t="shared" si="3"/>
        <v>264</v>
      </c>
    </row>
    <row r="62" spans="1:8" x14ac:dyDescent="0.25">
      <c r="A62">
        <v>3171</v>
      </c>
      <c r="B62">
        <v>12</v>
      </c>
      <c r="C62">
        <v>42</v>
      </c>
      <c r="D62" s="2">
        <f t="shared" si="0"/>
        <v>270</v>
      </c>
      <c r="F62">
        <f t="shared" si="1"/>
        <v>13</v>
      </c>
      <c r="G62" s="1">
        <f t="shared" si="2"/>
        <v>8.84</v>
      </c>
      <c r="H62" s="2">
        <f t="shared" si="3"/>
        <v>270</v>
      </c>
    </row>
    <row r="63" spans="1:8" x14ac:dyDescent="0.25">
      <c r="A63">
        <v>3207</v>
      </c>
      <c r="B63">
        <v>13</v>
      </c>
      <c r="C63">
        <v>38</v>
      </c>
      <c r="D63" s="2">
        <f t="shared" si="0"/>
        <v>251.6</v>
      </c>
      <c r="F63">
        <f t="shared" si="1"/>
        <v>14</v>
      </c>
      <c r="G63" s="1">
        <f t="shared" si="2"/>
        <v>8.76</v>
      </c>
      <c r="H63" s="2">
        <f t="shared" si="3"/>
        <v>251.6</v>
      </c>
    </row>
    <row r="64" spans="1:8" x14ac:dyDescent="0.25">
      <c r="A64">
        <v>3274</v>
      </c>
      <c r="B64">
        <v>13</v>
      </c>
      <c r="C64">
        <v>38</v>
      </c>
      <c r="D64" s="2">
        <f t="shared" si="0"/>
        <v>265</v>
      </c>
      <c r="F64">
        <f t="shared" si="1"/>
        <v>14</v>
      </c>
      <c r="G64" s="1">
        <f t="shared" si="2"/>
        <v>8.76</v>
      </c>
      <c r="H64" s="2">
        <f t="shared" si="3"/>
        <v>265</v>
      </c>
    </row>
    <row r="65" spans="1:8" x14ac:dyDescent="0.25">
      <c r="A65">
        <v>3242</v>
      </c>
      <c r="B65">
        <v>13</v>
      </c>
      <c r="C65">
        <v>39</v>
      </c>
      <c r="D65" s="2">
        <f t="shared" si="0"/>
        <v>265</v>
      </c>
      <c r="F65">
        <f t="shared" si="1"/>
        <v>14</v>
      </c>
      <c r="G65" s="1">
        <f t="shared" si="2"/>
        <v>8.7799999999999994</v>
      </c>
      <c r="H65" s="2">
        <f t="shared" si="3"/>
        <v>265</v>
      </c>
    </row>
    <row r="66" spans="1:8" x14ac:dyDescent="0.25">
      <c r="A66">
        <v>3271</v>
      </c>
      <c r="B66">
        <v>14</v>
      </c>
      <c r="C66">
        <v>36</v>
      </c>
      <c r="D66" s="2">
        <f t="shared" si="0"/>
        <v>251.6</v>
      </c>
      <c r="F66">
        <f t="shared" si="1"/>
        <v>15</v>
      </c>
      <c r="G66" s="1">
        <f t="shared" si="2"/>
        <v>8.7200000000000006</v>
      </c>
      <c r="H66" s="2">
        <f t="shared" si="3"/>
        <v>251.6</v>
      </c>
    </row>
    <row r="67" spans="1:8" x14ac:dyDescent="0.25">
      <c r="A67">
        <v>3291</v>
      </c>
      <c r="B67">
        <v>14</v>
      </c>
      <c r="C67">
        <v>37</v>
      </c>
      <c r="D67" s="2">
        <f t="shared" ref="D67:D130" si="4">(A67+3-(99-C67)*32)/5</f>
        <v>262</v>
      </c>
      <c r="F67">
        <f t="shared" ref="F67:F130" si="5">B67+1</f>
        <v>15</v>
      </c>
      <c r="G67" s="1">
        <f t="shared" ref="G67:G130" si="6">8+C67*0.02</f>
        <v>8.74</v>
      </c>
      <c r="H67" s="2">
        <f t="shared" ref="H67:H130" si="7">D67</f>
        <v>262</v>
      </c>
    </row>
    <row r="68" spans="1:8" x14ac:dyDescent="0.25">
      <c r="A68">
        <v>3321</v>
      </c>
      <c r="B68">
        <v>14</v>
      </c>
      <c r="C68">
        <v>37</v>
      </c>
      <c r="D68" s="2">
        <f t="shared" si="4"/>
        <v>268</v>
      </c>
      <c r="F68">
        <f t="shared" si="5"/>
        <v>15</v>
      </c>
      <c r="G68" s="1">
        <f t="shared" si="6"/>
        <v>8.74</v>
      </c>
      <c r="H68" s="2">
        <f t="shared" si="7"/>
        <v>268</v>
      </c>
    </row>
    <row r="69" spans="1:8" x14ac:dyDescent="0.25">
      <c r="A69">
        <v>3171</v>
      </c>
      <c r="B69">
        <v>14</v>
      </c>
      <c r="C69">
        <v>42</v>
      </c>
      <c r="D69" s="2">
        <f t="shared" si="4"/>
        <v>270</v>
      </c>
      <c r="F69">
        <f t="shared" si="5"/>
        <v>15</v>
      </c>
      <c r="G69" s="1">
        <f t="shared" si="6"/>
        <v>8.84</v>
      </c>
      <c r="H69" s="2">
        <f t="shared" si="7"/>
        <v>270</v>
      </c>
    </row>
    <row r="70" spans="1:8" x14ac:dyDescent="0.25">
      <c r="A70">
        <v>3176</v>
      </c>
      <c r="B70">
        <v>15</v>
      </c>
      <c r="C70">
        <v>39</v>
      </c>
      <c r="D70" s="2">
        <f t="shared" si="4"/>
        <v>251.8</v>
      </c>
      <c r="F70">
        <f t="shared" si="5"/>
        <v>16</v>
      </c>
      <c r="G70" s="1">
        <f t="shared" si="6"/>
        <v>8.7799999999999994</v>
      </c>
      <c r="H70" s="2">
        <f t="shared" si="7"/>
        <v>251.8</v>
      </c>
    </row>
    <row r="71" spans="1:8" x14ac:dyDescent="0.25">
      <c r="A71">
        <v>3190</v>
      </c>
      <c r="B71">
        <v>15</v>
      </c>
      <c r="C71">
        <v>39</v>
      </c>
      <c r="D71" s="2">
        <f t="shared" si="4"/>
        <v>254.6</v>
      </c>
      <c r="F71">
        <f t="shared" si="5"/>
        <v>16</v>
      </c>
      <c r="G71" s="1">
        <f t="shared" si="6"/>
        <v>8.7799999999999994</v>
      </c>
      <c r="H71" s="2">
        <f t="shared" si="7"/>
        <v>254.6</v>
      </c>
    </row>
    <row r="72" spans="1:8" x14ac:dyDescent="0.25">
      <c r="A72">
        <v>3242</v>
      </c>
      <c r="B72">
        <v>15</v>
      </c>
      <c r="C72">
        <v>39</v>
      </c>
      <c r="D72" s="2">
        <f t="shared" si="4"/>
        <v>265</v>
      </c>
      <c r="F72">
        <f t="shared" si="5"/>
        <v>16</v>
      </c>
      <c r="G72" s="1">
        <f t="shared" si="6"/>
        <v>8.7799999999999994</v>
      </c>
      <c r="H72" s="2">
        <f t="shared" si="7"/>
        <v>265</v>
      </c>
    </row>
    <row r="73" spans="1:8" x14ac:dyDescent="0.25">
      <c r="A73">
        <v>3210</v>
      </c>
      <c r="B73">
        <v>15</v>
      </c>
      <c r="C73">
        <v>40</v>
      </c>
      <c r="D73" s="2">
        <f t="shared" si="4"/>
        <v>265</v>
      </c>
      <c r="F73">
        <f t="shared" si="5"/>
        <v>16</v>
      </c>
      <c r="G73" s="1">
        <f t="shared" si="6"/>
        <v>8.8000000000000007</v>
      </c>
      <c r="H73" s="2">
        <f t="shared" si="7"/>
        <v>265</v>
      </c>
    </row>
    <row r="74" spans="1:8" x14ac:dyDescent="0.25">
      <c r="A74">
        <v>3338</v>
      </c>
      <c r="B74">
        <v>16</v>
      </c>
      <c r="C74">
        <v>36</v>
      </c>
      <c r="D74" s="2">
        <f t="shared" si="4"/>
        <v>265</v>
      </c>
      <c r="F74">
        <f t="shared" si="5"/>
        <v>17</v>
      </c>
      <c r="G74" s="1">
        <f t="shared" si="6"/>
        <v>8.7200000000000006</v>
      </c>
      <c r="H74" s="2">
        <f t="shared" si="7"/>
        <v>265</v>
      </c>
    </row>
    <row r="75" spans="1:8" x14ac:dyDescent="0.25">
      <c r="A75">
        <v>3306</v>
      </c>
      <c r="B75">
        <v>16</v>
      </c>
      <c r="C75">
        <v>37</v>
      </c>
      <c r="D75" s="2">
        <f t="shared" si="4"/>
        <v>265</v>
      </c>
      <c r="F75">
        <f t="shared" si="5"/>
        <v>17</v>
      </c>
      <c r="G75" s="1">
        <f t="shared" si="6"/>
        <v>8.74</v>
      </c>
      <c r="H75" s="2">
        <f t="shared" si="7"/>
        <v>265</v>
      </c>
    </row>
    <row r="76" spans="1:8" x14ac:dyDescent="0.25">
      <c r="A76">
        <v>3207</v>
      </c>
      <c r="B76">
        <v>16</v>
      </c>
      <c r="C76">
        <v>38</v>
      </c>
      <c r="D76" s="2">
        <f t="shared" si="4"/>
        <v>251.6</v>
      </c>
      <c r="F76">
        <f t="shared" si="5"/>
        <v>17</v>
      </c>
      <c r="G76" s="1">
        <f t="shared" si="6"/>
        <v>8.76</v>
      </c>
      <c r="H76" s="2">
        <f t="shared" si="7"/>
        <v>251.6</v>
      </c>
    </row>
    <row r="77" spans="1:8" x14ac:dyDescent="0.25">
      <c r="A77">
        <v>3245</v>
      </c>
      <c r="B77">
        <v>16</v>
      </c>
      <c r="C77">
        <v>40</v>
      </c>
      <c r="D77" s="2">
        <f t="shared" si="4"/>
        <v>272</v>
      </c>
      <c r="F77">
        <f t="shared" si="5"/>
        <v>17</v>
      </c>
      <c r="G77" s="1">
        <f t="shared" si="6"/>
        <v>8.8000000000000007</v>
      </c>
      <c r="H77" s="2">
        <f t="shared" si="7"/>
        <v>272</v>
      </c>
    </row>
    <row r="78" spans="1:8" x14ac:dyDescent="0.25">
      <c r="A78">
        <v>3367</v>
      </c>
      <c r="B78">
        <v>17</v>
      </c>
      <c r="C78">
        <v>33</v>
      </c>
      <c r="D78" s="2">
        <f t="shared" si="4"/>
        <v>251.6</v>
      </c>
      <c r="F78">
        <f t="shared" si="5"/>
        <v>18</v>
      </c>
      <c r="G78" s="1">
        <f t="shared" si="6"/>
        <v>8.66</v>
      </c>
      <c r="H78" s="2">
        <f t="shared" si="7"/>
        <v>251.6</v>
      </c>
    </row>
    <row r="79" spans="1:8" x14ac:dyDescent="0.25">
      <c r="A79">
        <v>3434</v>
      </c>
      <c r="B79">
        <v>17</v>
      </c>
      <c r="C79">
        <v>33</v>
      </c>
      <c r="D79" s="2">
        <f t="shared" si="4"/>
        <v>265</v>
      </c>
      <c r="F79">
        <f t="shared" si="5"/>
        <v>18</v>
      </c>
      <c r="G79" s="1">
        <f t="shared" si="6"/>
        <v>8.66</v>
      </c>
      <c r="H79" s="2">
        <f t="shared" si="7"/>
        <v>265</v>
      </c>
    </row>
    <row r="80" spans="1:8" x14ac:dyDescent="0.25">
      <c r="A80">
        <v>3402</v>
      </c>
      <c r="B80">
        <v>17</v>
      </c>
      <c r="C80">
        <v>34</v>
      </c>
      <c r="D80" s="2">
        <f t="shared" si="4"/>
        <v>265</v>
      </c>
      <c r="F80">
        <f t="shared" si="5"/>
        <v>18</v>
      </c>
      <c r="G80" s="1">
        <f t="shared" si="6"/>
        <v>8.68</v>
      </c>
      <c r="H80" s="2">
        <f t="shared" si="7"/>
        <v>265</v>
      </c>
    </row>
    <row r="81" spans="1:8" x14ac:dyDescent="0.25">
      <c r="A81">
        <v>3111</v>
      </c>
      <c r="B81">
        <v>18</v>
      </c>
      <c r="C81">
        <v>41</v>
      </c>
      <c r="D81" s="2">
        <f t="shared" si="4"/>
        <v>251.6</v>
      </c>
      <c r="F81">
        <f t="shared" si="5"/>
        <v>19</v>
      </c>
      <c r="G81" s="1">
        <f t="shared" si="6"/>
        <v>8.82</v>
      </c>
      <c r="H81" s="2">
        <f t="shared" si="7"/>
        <v>251.6</v>
      </c>
    </row>
    <row r="82" spans="1:8" x14ac:dyDescent="0.25">
      <c r="A82">
        <v>3173</v>
      </c>
      <c r="B82">
        <v>18</v>
      </c>
      <c r="C82">
        <v>41</v>
      </c>
      <c r="D82" s="2">
        <f t="shared" si="4"/>
        <v>264</v>
      </c>
      <c r="F82">
        <f t="shared" si="5"/>
        <v>19</v>
      </c>
      <c r="G82" s="1">
        <f t="shared" si="6"/>
        <v>8.82</v>
      </c>
      <c r="H82" s="2">
        <f t="shared" si="7"/>
        <v>264</v>
      </c>
    </row>
    <row r="83" spans="1:8" x14ac:dyDescent="0.25">
      <c r="A83">
        <v>3126</v>
      </c>
      <c r="B83">
        <v>18</v>
      </c>
      <c r="C83">
        <v>42</v>
      </c>
      <c r="D83" s="2">
        <f t="shared" si="4"/>
        <v>261</v>
      </c>
      <c r="F83">
        <f t="shared" si="5"/>
        <v>19</v>
      </c>
      <c r="G83" s="1">
        <f t="shared" si="6"/>
        <v>8.84</v>
      </c>
      <c r="H83" s="2">
        <f t="shared" si="7"/>
        <v>261</v>
      </c>
    </row>
    <row r="84" spans="1:8" x14ac:dyDescent="0.25">
      <c r="A84">
        <v>3141</v>
      </c>
      <c r="B84">
        <v>18</v>
      </c>
      <c r="C84">
        <v>42</v>
      </c>
      <c r="D84" s="2">
        <f t="shared" si="4"/>
        <v>264</v>
      </c>
      <c r="F84">
        <f t="shared" si="5"/>
        <v>19</v>
      </c>
      <c r="G84" s="1">
        <f t="shared" si="6"/>
        <v>8.84</v>
      </c>
      <c r="H84" s="2">
        <f t="shared" si="7"/>
        <v>264</v>
      </c>
    </row>
    <row r="85" spans="1:8" x14ac:dyDescent="0.25">
      <c r="A85">
        <v>3208</v>
      </c>
      <c r="B85">
        <v>19</v>
      </c>
      <c r="C85">
        <v>38</v>
      </c>
      <c r="D85" s="2">
        <f t="shared" si="4"/>
        <v>251.8</v>
      </c>
      <c r="F85">
        <f t="shared" si="5"/>
        <v>20</v>
      </c>
      <c r="G85" s="1">
        <f t="shared" si="6"/>
        <v>8.76</v>
      </c>
      <c r="H85" s="2">
        <f t="shared" si="7"/>
        <v>251.8</v>
      </c>
    </row>
    <row r="86" spans="1:8" x14ac:dyDescent="0.25">
      <c r="A86">
        <v>3227</v>
      </c>
      <c r="B86">
        <v>19</v>
      </c>
      <c r="C86">
        <v>39</v>
      </c>
      <c r="D86" s="2">
        <f t="shared" si="4"/>
        <v>262</v>
      </c>
      <c r="F86">
        <f t="shared" si="5"/>
        <v>20</v>
      </c>
      <c r="G86" s="1">
        <f t="shared" si="6"/>
        <v>8.7799999999999994</v>
      </c>
      <c r="H86" s="2">
        <f t="shared" si="7"/>
        <v>262</v>
      </c>
    </row>
    <row r="87" spans="1:8" x14ac:dyDescent="0.25">
      <c r="A87">
        <v>3237</v>
      </c>
      <c r="B87">
        <v>19</v>
      </c>
      <c r="C87">
        <v>39</v>
      </c>
      <c r="D87" s="2">
        <f t="shared" si="4"/>
        <v>264</v>
      </c>
      <c r="F87">
        <f t="shared" si="5"/>
        <v>20</v>
      </c>
      <c r="G87" s="1">
        <f t="shared" si="6"/>
        <v>8.7799999999999994</v>
      </c>
      <c r="H87" s="2">
        <f t="shared" si="7"/>
        <v>264</v>
      </c>
    </row>
    <row r="88" spans="1:8" x14ac:dyDescent="0.25">
      <c r="A88">
        <v>3271</v>
      </c>
      <c r="B88">
        <v>20</v>
      </c>
      <c r="C88">
        <v>36</v>
      </c>
      <c r="D88" s="2">
        <f t="shared" si="4"/>
        <v>251.6</v>
      </c>
      <c r="F88">
        <f t="shared" si="5"/>
        <v>21</v>
      </c>
      <c r="G88" s="1">
        <f t="shared" si="6"/>
        <v>8.7200000000000006</v>
      </c>
      <c r="H88" s="2">
        <f t="shared" si="7"/>
        <v>251.6</v>
      </c>
    </row>
    <row r="89" spans="1:8" x14ac:dyDescent="0.25">
      <c r="A89">
        <v>3299</v>
      </c>
      <c r="B89">
        <v>20</v>
      </c>
      <c r="C89">
        <v>36</v>
      </c>
      <c r="D89" s="2">
        <f t="shared" si="4"/>
        <v>257.2</v>
      </c>
      <c r="F89">
        <f t="shared" si="5"/>
        <v>21</v>
      </c>
      <c r="G89" s="1">
        <f t="shared" si="6"/>
        <v>8.7200000000000006</v>
      </c>
      <c r="H89" s="2">
        <f t="shared" si="7"/>
        <v>257.2</v>
      </c>
    </row>
    <row r="90" spans="1:8" x14ac:dyDescent="0.25">
      <c r="A90">
        <v>3254</v>
      </c>
      <c r="B90">
        <v>20</v>
      </c>
      <c r="C90">
        <v>37</v>
      </c>
      <c r="D90" s="2">
        <f t="shared" si="4"/>
        <v>254.6</v>
      </c>
      <c r="F90">
        <f t="shared" si="5"/>
        <v>21</v>
      </c>
      <c r="G90" s="1">
        <f t="shared" si="6"/>
        <v>8.74</v>
      </c>
      <c r="H90" s="2">
        <f t="shared" si="7"/>
        <v>254.6</v>
      </c>
    </row>
    <row r="91" spans="1:8" x14ac:dyDescent="0.25">
      <c r="A91">
        <v>3286</v>
      </c>
      <c r="B91">
        <v>20</v>
      </c>
      <c r="C91">
        <v>37</v>
      </c>
      <c r="D91" s="2">
        <f t="shared" si="4"/>
        <v>261</v>
      </c>
      <c r="F91">
        <f t="shared" si="5"/>
        <v>21</v>
      </c>
      <c r="G91" s="1">
        <f t="shared" si="6"/>
        <v>8.74</v>
      </c>
      <c r="H91" s="2">
        <f t="shared" si="7"/>
        <v>261</v>
      </c>
    </row>
    <row r="92" spans="1:8" x14ac:dyDescent="0.25">
      <c r="A92">
        <v>3198</v>
      </c>
      <c r="B92">
        <v>20</v>
      </c>
      <c r="C92">
        <v>41</v>
      </c>
      <c r="D92" s="2">
        <f t="shared" si="4"/>
        <v>269</v>
      </c>
      <c r="F92">
        <f t="shared" si="5"/>
        <v>21</v>
      </c>
      <c r="G92" s="1">
        <f t="shared" si="6"/>
        <v>8.82</v>
      </c>
      <c r="H92" s="2">
        <f t="shared" si="7"/>
        <v>269</v>
      </c>
    </row>
    <row r="93" spans="1:8" x14ac:dyDescent="0.25">
      <c r="A93">
        <v>3166</v>
      </c>
      <c r="B93">
        <v>20</v>
      </c>
      <c r="C93">
        <v>42</v>
      </c>
      <c r="D93" s="2">
        <f t="shared" si="4"/>
        <v>269</v>
      </c>
      <c r="F93">
        <f t="shared" si="5"/>
        <v>21</v>
      </c>
      <c r="G93" s="1">
        <f t="shared" si="6"/>
        <v>8.84</v>
      </c>
      <c r="H93" s="2">
        <f t="shared" si="7"/>
        <v>269</v>
      </c>
    </row>
    <row r="94" spans="1:8" x14ac:dyDescent="0.25">
      <c r="A94">
        <v>3181</v>
      </c>
      <c r="B94">
        <v>20</v>
      </c>
      <c r="C94">
        <v>42</v>
      </c>
      <c r="D94" s="2">
        <f t="shared" si="4"/>
        <v>272</v>
      </c>
      <c r="F94">
        <f t="shared" si="5"/>
        <v>21</v>
      </c>
      <c r="G94" s="1">
        <f t="shared" si="6"/>
        <v>8.84</v>
      </c>
      <c r="H94" s="2">
        <f t="shared" si="7"/>
        <v>272</v>
      </c>
    </row>
    <row r="95" spans="1:8" x14ac:dyDescent="0.25">
      <c r="A95">
        <v>3175</v>
      </c>
      <c r="B95">
        <v>21</v>
      </c>
      <c r="C95">
        <v>39</v>
      </c>
      <c r="D95" s="2">
        <f t="shared" si="4"/>
        <v>251.6</v>
      </c>
      <c r="F95">
        <f t="shared" si="5"/>
        <v>22</v>
      </c>
      <c r="G95" s="1">
        <f t="shared" si="6"/>
        <v>8.7799999999999994</v>
      </c>
      <c r="H95" s="2">
        <f t="shared" si="7"/>
        <v>251.6</v>
      </c>
    </row>
    <row r="96" spans="1:8" x14ac:dyDescent="0.25">
      <c r="A96">
        <v>3242</v>
      </c>
      <c r="B96">
        <v>21</v>
      </c>
      <c r="C96">
        <v>39</v>
      </c>
      <c r="D96" s="2">
        <f t="shared" si="4"/>
        <v>265</v>
      </c>
      <c r="F96">
        <f t="shared" si="5"/>
        <v>22</v>
      </c>
      <c r="G96" s="1">
        <f t="shared" si="6"/>
        <v>8.7799999999999994</v>
      </c>
      <c r="H96" s="2">
        <f t="shared" si="7"/>
        <v>265</v>
      </c>
    </row>
    <row r="97" spans="1:8" x14ac:dyDescent="0.25">
      <c r="A97">
        <v>3210</v>
      </c>
      <c r="B97">
        <v>21</v>
      </c>
      <c r="C97">
        <v>40</v>
      </c>
      <c r="D97" s="2">
        <f t="shared" si="4"/>
        <v>265</v>
      </c>
      <c r="F97">
        <f t="shared" si="5"/>
        <v>22</v>
      </c>
      <c r="G97" s="1">
        <f t="shared" si="6"/>
        <v>8.8000000000000007</v>
      </c>
      <c r="H97" s="2">
        <f t="shared" si="7"/>
        <v>265</v>
      </c>
    </row>
    <row r="98" spans="1:8" x14ac:dyDescent="0.25">
      <c r="A98">
        <v>3271</v>
      </c>
      <c r="B98">
        <v>22</v>
      </c>
      <c r="C98">
        <v>36</v>
      </c>
      <c r="D98" s="2">
        <f t="shared" si="4"/>
        <v>251.6</v>
      </c>
      <c r="F98">
        <f t="shared" si="5"/>
        <v>23</v>
      </c>
      <c r="G98" s="1">
        <f t="shared" si="6"/>
        <v>8.7200000000000006</v>
      </c>
      <c r="H98" s="2">
        <f t="shared" si="7"/>
        <v>251.6</v>
      </c>
    </row>
    <row r="99" spans="1:8" x14ac:dyDescent="0.25">
      <c r="A99">
        <v>3333</v>
      </c>
      <c r="B99">
        <v>22</v>
      </c>
      <c r="C99">
        <v>36</v>
      </c>
      <c r="D99" s="2">
        <f t="shared" si="4"/>
        <v>264</v>
      </c>
      <c r="F99">
        <f t="shared" si="5"/>
        <v>23</v>
      </c>
      <c r="G99" s="1">
        <f t="shared" si="6"/>
        <v>8.7200000000000006</v>
      </c>
      <c r="H99" s="2">
        <f t="shared" si="7"/>
        <v>264</v>
      </c>
    </row>
    <row r="100" spans="1:8" x14ac:dyDescent="0.25">
      <c r="A100">
        <v>3286</v>
      </c>
      <c r="B100">
        <v>22</v>
      </c>
      <c r="C100">
        <v>37</v>
      </c>
      <c r="D100" s="2">
        <f t="shared" si="4"/>
        <v>261</v>
      </c>
      <c r="F100">
        <f t="shared" si="5"/>
        <v>23</v>
      </c>
      <c r="G100" s="1">
        <f t="shared" si="6"/>
        <v>8.74</v>
      </c>
      <c r="H100" s="2">
        <f t="shared" si="7"/>
        <v>261</v>
      </c>
    </row>
    <row r="101" spans="1:8" x14ac:dyDescent="0.25">
      <c r="A101">
        <v>3301</v>
      </c>
      <c r="B101">
        <v>22</v>
      </c>
      <c r="C101">
        <v>37</v>
      </c>
      <c r="D101" s="2">
        <f t="shared" si="4"/>
        <v>264</v>
      </c>
      <c r="F101">
        <f t="shared" si="5"/>
        <v>23</v>
      </c>
      <c r="G101" s="1">
        <f t="shared" si="6"/>
        <v>8.74</v>
      </c>
      <c r="H101" s="2">
        <f t="shared" si="7"/>
        <v>264</v>
      </c>
    </row>
    <row r="102" spans="1:8" x14ac:dyDescent="0.25">
      <c r="A102">
        <v>3385</v>
      </c>
      <c r="B102">
        <v>23</v>
      </c>
      <c r="C102">
        <v>35</v>
      </c>
      <c r="D102" s="2">
        <f t="shared" si="4"/>
        <v>268</v>
      </c>
      <c r="F102">
        <f t="shared" si="5"/>
        <v>24</v>
      </c>
      <c r="G102" s="1">
        <f t="shared" si="6"/>
        <v>8.6999999999999993</v>
      </c>
      <c r="H102" s="2">
        <f t="shared" si="7"/>
        <v>268</v>
      </c>
    </row>
    <row r="103" spans="1:8" x14ac:dyDescent="0.25">
      <c r="A103">
        <v>3111</v>
      </c>
      <c r="B103">
        <v>24</v>
      </c>
      <c r="C103">
        <v>41</v>
      </c>
      <c r="D103" s="2">
        <f t="shared" si="4"/>
        <v>251.6</v>
      </c>
      <c r="F103">
        <f t="shared" si="5"/>
        <v>25</v>
      </c>
      <c r="G103" s="1">
        <f t="shared" si="6"/>
        <v>8.82</v>
      </c>
      <c r="H103" s="2">
        <f t="shared" si="7"/>
        <v>251.6</v>
      </c>
    </row>
    <row r="104" spans="1:8" x14ac:dyDescent="0.25">
      <c r="A104">
        <v>3174</v>
      </c>
      <c r="B104">
        <v>24</v>
      </c>
      <c r="C104">
        <v>41</v>
      </c>
      <c r="D104" s="2">
        <f t="shared" si="4"/>
        <v>264.2</v>
      </c>
      <c r="F104">
        <f t="shared" si="5"/>
        <v>25</v>
      </c>
      <c r="G104" s="1">
        <f t="shared" si="6"/>
        <v>8.82</v>
      </c>
      <c r="H104" s="2">
        <f t="shared" si="7"/>
        <v>264.2</v>
      </c>
    </row>
    <row r="105" spans="1:8" x14ac:dyDescent="0.25">
      <c r="A105">
        <v>3126</v>
      </c>
      <c r="B105">
        <v>24</v>
      </c>
      <c r="C105">
        <v>42</v>
      </c>
      <c r="D105" s="2">
        <f t="shared" si="4"/>
        <v>261</v>
      </c>
      <c r="F105">
        <f t="shared" si="5"/>
        <v>25</v>
      </c>
      <c r="G105" s="1">
        <f t="shared" si="6"/>
        <v>8.84</v>
      </c>
      <c r="H105" s="2">
        <f t="shared" si="7"/>
        <v>261</v>
      </c>
    </row>
    <row r="106" spans="1:8" x14ac:dyDescent="0.25">
      <c r="A106">
        <v>3141</v>
      </c>
      <c r="B106">
        <v>24</v>
      </c>
      <c r="C106">
        <v>42</v>
      </c>
      <c r="D106" s="2">
        <f t="shared" si="4"/>
        <v>264</v>
      </c>
      <c r="F106">
        <f t="shared" si="5"/>
        <v>25</v>
      </c>
      <c r="G106" s="1">
        <f t="shared" si="6"/>
        <v>8.84</v>
      </c>
      <c r="H106" s="2">
        <f t="shared" si="7"/>
        <v>264</v>
      </c>
    </row>
    <row r="107" spans="1:8" x14ac:dyDescent="0.25">
      <c r="A107">
        <v>3207</v>
      </c>
      <c r="B107">
        <v>25</v>
      </c>
      <c r="C107">
        <v>38</v>
      </c>
      <c r="D107" s="2">
        <f t="shared" si="4"/>
        <v>251.6</v>
      </c>
      <c r="F107">
        <f t="shared" si="5"/>
        <v>26</v>
      </c>
      <c r="G107" s="1">
        <f t="shared" si="6"/>
        <v>8.76</v>
      </c>
      <c r="H107" s="2">
        <f t="shared" si="7"/>
        <v>251.6</v>
      </c>
    </row>
    <row r="108" spans="1:8" x14ac:dyDescent="0.25">
      <c r="A108">
        <v>3267</v>
      </c>
      <c r="B108">
        <v>25</v>
      </c>
      <c r="C108">
        <v>39</v>
      </c>
      <c r="D108" s="2">
        <f t="shared" si="4"/>
        <v>270</v>
      </c>
      <c r="F108">
        <f t="shared" si="5"/>
        <v>26</v>
      </c>
      <c r="G108" s="1">
        <f t="shared" si="6"/>
        <v>8.7799999999999994</v>
      </c>
      <c r="H108" s="2">
        <f t="shared" si="7"/>
        <v>270</v>
      </c>
    </row>
    <row r="109" spans="1:8" x14ac:dyDescent="0.25">
      <c r="A109">
        <v>3235</v>
      </c>
      <c r="B109">
        <v>25</v>
      </c>
      <c r="C109">
        <v>40</v>
      </c>
      <c r="D109" s="2">
        <f t="shared" si="4"/>
        <v>270</v>
      </c>
      <c r="F109">
        <f t="shared" si="5"/>
        <v>26</v>
      </c>
      <c r="G109" s="1">
        <f t="shared" si="6"/>
        <v>8.8000000000000007</v>
      </c>
      <c r="H109" s="2">
        <f t="shared" si="7"/>
        <v>270</v>
      </c>
    </row>
    <row r="110" spans="1:8" x14ac:dyDescent="0.25">
      <c r="A110">
        <v>3271</v>
      </c>
      <c r="B110">
        <v>26</v>
      </c>
      <c r="C110">
        <v>36</v>
      </c>
      <c r="D110" s="2">
        <f t="shared" si="4"/>
        <v>251.6</v>
      </c>
      <c r="F110">
        <f t="shared" si="5"/>
        <v>27</v>
      </c>
      <c r="G110" s="1">
        <f t="shared" si="6"/>
        <v>8.7200000000000006</v>
      </c>
      <c r="H110" s="2">
        <f t="shared" si="7"/>
        <v>251.6</v>
      </c>
    </row>
    <row r="111" spans="1:8" x14ac:dyDescent="0.25">
      <c r="A111">
        <v>3255</v>
      </c>
      <c r="B111">
        <v>26</v>
      </c>
      <c r="C111">
        <v>37</v>
      </c>
      <c r="D111" s="2">
        <f t="shared" si="4"/>
        <v>254.8</v>
      </c>
      <c r="F111">
        <f t="shared" si="5"/>
        <v>27</v>
      </c>
      <c r="G111" s="1">
        <f t="shared" si="6"/>
        <v>8.74</v>
      </c>
      <c r="H111" s="2">
        <f t="shared" si="7"/>
        <v>254.8</v>
      </c>
    </row>
    <row r="112" spans="1:8" x14ac:dyDescent="0.25">
      <c r="A112">
        <v>3286</v>
      </c>
      <c r="B112">
        <v>26</v>
      </c>
      <c r="C112">
        <v>37</v>
      </c>
      <c r="D112" s="2">
        <f t="shared" si="4"/>
        <v>261</v>
      </c>
      <c r="F112">
        <f t="shared" si="5"/>
        <v>27</v>
      </c>
      <c r="G112" s="1">
        <f t="shared" si="6"/>
        <v>8.74</v>
      </c>
      <c r="H112" s="2">
        <f t="shared" si="7"/>
        <v>261</v>
      </c>
    </row>
    <row r="113" spans="1:8" x14ac:dyDescent="0.25">
      <c r="A113">
        <v>3176</v>
      </c>
      <c r="B113">
        <v>27</v>
      </c>
      <c r="C113">
        <v>39</v>
      </c>
      <c r="D113" s="2">
        <f t="shared" si="4"/>
        <v>251.8</v>
      </c>
      <c r="F113">
        <f t="shared" si="5"/>
        <v>28</v>
      </c>
      <c r="G113" s="1">
        <f t="shared" si="6"/>
        <v>8.7799999999999994</v>
      </c>
      <c r="H113" s="2">
        <f t="shared" si="7"/>
        <v>251.8</v>
      </c>
    </row>
    <row r="114" spans="1:8" x14ac:dyDescent="0.25">
      <c r="A114">
        <v>3237</v>
      </c>
      <c r="B114">
        <v>27</v>
      </c>
      <c r="C114">
        <v>39</v>
      </c>
      <c r="D114" s="2">
        <f t="shared" si="4"/>
        <v>264</v>
      </c>
      <c r="F114">
        <f t="shared" si="5"/>
        <v>28</v>
      </c>
      <c r="G114" s="1">
        <f t="shared" si="6"/>
        <v>8.7799999999999994</v>
      </c>
      <c r="H114" s="2">
        <f t="shared" si="7"/>
        <v>264</v>
      </c>
    </row>
    <row r="115" spans="1:8" x14ac:dyDescent="0.25">
      <c r="A115">
        <v>3205</v>
      </c>
      <c r="B115">
        <v>27</v>
      </c>
      <c r="C115">
        <v>40</v>
      </c>
      <c r="D115" s="2">
        <f t="shared" si="4"/>
        <v>264</v>
      </c>
      <c r="F115">
        <f t="shared" si="5"/>
        <v>28</v>
      </c>
      <c r="G115" s="1">
        <f t="shared" si="6"/>
        <v>8.8000000000000007</v>
      </c>
      <c r="H115" s="2">
        <f t="shared" si="7"/>
        <v>264</v>
      </c>
    </row>
    <row r="116" spans="1:8" x14ac:dyDescent="0.25">
      <c r="A116">
        <v>3271</v>
      </c>
      <c r="B116">
        <v>28</v>
      </c>
      <c r="C116">
        <v>36</v>
      </c>
      <c r="D116" s="2">
        <f t="shared" si="4"/>
        <v>251.6</v>
      </c>
      <c r="F116">
        <f t="shared" si="5"/>
        <v>29</v>
      </c>
      <c r="G116" s="1">
        <f t="shared" si="6"/>
        <v>8.7200000000000006</v>
      </c>
      <c r="H116" s="2">
        <f t="shared" si="7"/>
        <v>251.6</v>
      </c>
    </row>
    <row r="117" spans="1:8" x14ac:dyDescent="0.25">
      <c r="A117">
        <v>3328</v>
      </c>
      <c r="B117">
        <v>28</v>
      </c>
      <c r="C117">
        <v>36</v>
      </c>
      <c r="D117" s="2">
        <f t="shared" si="4"/>
        <v>263</v>
      </c>
      <c r="F117">
        <f t="shared" si="5"/>
        <v>29</v>
      </c>
      <c r="G117" s="1">
        <f t="shared" si="6"/>
        <v>8.7200000000000006</v>
      </c>
      <c r="H117" s="2">
        <f t="shared" si="7"/>
        <v>263</v>
      </c>
    </row>
    <row r="118" spans="1:8" x14ac:dyDescent="0.25">
      <c r="A118">
        <v>3296</v>
      </c>
      <c r="B118">
        <v>28</v>
      </c>
      <c r="C118">
        <v>37</v>
      </c>
      <c r="D118" s="2">
        <f t="shared" si="4"/>
        <v>263</v>
      </c>
      <c r="F118">
        <f t="shared" si="5"/>
        <v>29</v>
      </c>
      <c r="G118" s="1">
        <f t="shared" si="6"/>
        <v>8.74</v>
      </c>
      <c r="H118" s="2">
        <f t="shared" si="7"/>
        <v>263</v>
      </c>
    </row>
    <row r="119" spans="1:8" x14ac:dyDescent="0.25">
      <c r="A119">
        <v>3350</v>
      </c>
      <c r="B119">
        <v>29</v>
      </c>
      <c r="C119">
        <v>34</v>
      </c>
      <c r="D119" s="2">
        <f t="shared" si="4"/>
        <v>254.6</v>
      </c>
      <c r="F119">
        <f t="shared" si="5"/>
        <v>30</v>
      </c>
      <c r="G119" s="1">
        <f t="shared" si="6"/>
        <v>8.68</v>
      </c>
      <c r="H119" s="2">
        <f t="shared" si="7"/>
        <v>254.6</v>
      </c>
    </row>
    <row r="120" spans="1:8" x14ac:dyDescent="0.25">
      <c r="A120">
        <v>3375</v>
      </c>
      <c r="B120">
        <v>29</v>
      </c>
      <c r="C120">
        <v>35</v>
      </c>
      <c r="D120" s="2">
        <f t="shared" si="4"/>
        <v>266</v>
      </c>
      <c r="F120">
        <f t="shared" si="5"/>
        <v>30</v>
      </c>
      <c r="G120" s="1">
        <f t="shared" si="6"/>
        <v>8.6999999999999993</v>
      </c>
      <c r="H120" s="2">
        <f t="shared" si="7"/>
        <v>266</v>
      </c>
    </row>
    <row r="121" spans="1:8" x14ac:dyDescent="0.25">
      <c r="A121">
        <v>3111</v>
      </c>
      <c r="B121">
        <v>30</v>
      </c>
      <c r="C121">
        <v>41</v>
      </c>
      <c r="D121" s="2">
        <f t="shared" si="4"/>
        <v>251.6</v>
      </c>
      <c r="F121">
        <f t="shared" si="5"/>
        <v>31</v>
      </c>
      <c r="G121" s="1">
        <f t="shared" si="6"/>
        <v>8.82</v>
      </c>
      <c r="H121" s="2">
        <f t="shared" si="7"/>
        <v>251.6</v>
      </c>
    </row>
    <row r="122" spans="1:8" x14ac:dyDescent="0.25">
      <c r="A122">
        <v>3173</v>
      </c>
      <c r="B122">
        <v>30</v>
      </c>
      <c r="C122">
        <v>41</v>
      </c>
      <c r="D122" s="2">
        <f t="shared" si="4"/>
        <v>264</v>
      </c>
      <c r="F122">
        <f t="shared" si="5"/>
        <v>31</v>
      </c>
      <c r="G122" s="1">
        <f t="shared" si="6"/>
        <v>8.82</v>
      </c>
      <c r="H122" s="2">
        <f t="shared" si="7"/>
        <v>264</v>
      </c>
    </row>
    <row r="123" spans="1:8" x14ac:dyDescent="0.25">
      <c r="A123">
        <v>3141</v>
      </c>
      <c r="B123">
        <v>30</v>
      </c>
      <c r="C123">
        <v>42</v>
      </c>
      <c r="D123" s="2">
        <f t="shared" si="4"/>
        <v>264</v>
      </c>
      <c r="F123">
        <f t="shared" si="5"/>
        <v>31</v>
      </c>
      <c r="G123" s="1">
        <f t="shared" si="6"/>
        <v>8.84</v>
      </c>
      <c r="H123" s="2">
        <f t="shared" si="7"/>
        <v>264</v>
      </c>
    </row>
    <row r="124" spans="1:8" x14ac:dyDescent="0.25">
      <c r="A124">
        <v>3207</v>
      </c>
      <c r="B124">
        <v>31</v>
      </c>
      <c r="C124">
        <v>38</v>
      </c>
      <c r="D124" s="2">
        <f t="shared" si="4"/>
        <v>251.6</v>
      </c>
      <c r="F124">
        <f t="shared" si="5"/>
        <v>32</v>
      </c>
      <c r="G124" s="1">
        <f t="shared" si="6"/>
        <v>8.76</v>
      </c>
      <c r="H124" s="2">
        <f t="shared" si="7"/>
        <v>251.6</v>
      </c>
    </row>
    <row r="125" spans="1:8" x14ac:dyDescent="0.25">
      <c r="A125">
        <v>3269</v>
      </c>
      <c r="B125">
        <v>31</v>
      </c>
      <c r="C125">
        <v>38</v>
      </c>
      <c r="D125" s="2">
        <f t="shared" si="4"/>
        <v>264</v>
      </c>
      <c r="F125">
        <f t="shared" si="5"/>
        <v>32</v>
      </c>
      <c r="G125" s="1">
        <f t="shared" si="6"/>
        <v>8.76</v>
      </c>
      <c r="H125" s="2">
        <f t="shared" si="7"/>
        <v>264</v>
      </c>
    </row>
    <row r="126" spans="1:8" x14ac:dyDescent="0.25">
      <c r="A126">
        <v>3237</v>
      </c>
      <c r="B126">
        <v>31</v>
      </c>
      <c r="C126">
        <v>39</v>
      </c>
      <c r="D126" s="2">
        <f t="shared" si="4"/>
        <v>264</v>
      </c>
      <c r="F126">
        <f t="shared" si="5"/>
        <v>32</v>
      </c>
      <c r="G126" s="1">
        <f t="shared" si="6"/>
        <v>8.7799999999999994</v>
      </c>
      <c r="H126" s="2">
        <f t="shared" si="7"/>
        <v>264</v>
      </c>
    </row>
    <row r="127" spans="1:8" x14ac:dyDescent="0.25">
      <c r="A127">
        <v>3220</v>
      </c>
      <c r="B127">
        <v>31</v>
      </c>
      <c r="C127">
        <v>40</v>
      </c>
      <c r="D127" s="2">
        <f t="shared" si="4"/>
        <v>267</v>
      </c>
      <c r="F127">
        <f t="shared" si="5"/>
        <v>32</v>
      </c>
      <c r="G127" s="1">
        <f t="shared" si="6"/>
        <v>8.8000000000000007</v>
      </c>
      <c r="H127" s="2">
        <f t="shared" si="7"/>
        <v>267</v>
      </c>
    </row>
    <row r="128" spans="1:8" x14ac:dyDescent="0.25">
      <c r="A128">
        <v>3239</v>
      </c>
      <c r="B128">
        <v>32</v>
      </c>
      <c r="C128">
        <v>37</v>
      </c>
      <c r="D128" s="2">
        <f t="shared" si="4"/>
        <v>251.6</v>
      </c>
      <c r="F128">
        <f t="shared" si="5"/>
        <v>33</v>
      </c>
      <c r="G128" s="1">
        <f t="shared" si="6"/>
        <v>8.74</v>
      </c>
      <c r="H128" s="2">
        <f t="shared" si="7"/>
        <v>251.6</v>
      </c>
    </row>
    <row r="129" spans="1:8" x14ac:dyDescent="0.25">
      <c r="A129">
        <v>3255</v>
      </c>
      <c r="B129">
        <v>32</v>
      </c>
      <c r="C129">
        <v>37</v>
      </c>
      <c r="D129" s="2">
        <f t="shared" si="4"/>
        <v>254.8</v>
      </c>
      <c r="F129">
        <f t="shared" si="5"/>
        <v>33</v>
      </c>
      <c r="G129" s="1">
        <f t="shared" si="6"/>
        <v>8.74</v>
      </c>
      <c r="H129" s="2">
        <f t="shared" si="7"/>
        <v>254.8</v>
      </c>
    </row>
    <row r="130" spans="1:8" x14ac:dyDescent="0.25">
      <c r="A130">
        <v>3274</v>
      </c>
      <c r="B130">
        <v>32</v>
      </c>
      <c r="C130">
        <v>38</v>
      </c>
      <c r="D130" s="2">
        <f t="shared" si="4"/>
        <v>265</v>
      </c>
      <c r="F130">
        <f t="shared" si="5"/>
        <v>33</v>
      </c>
      <c r="G130" s="1">
        <f t="shared" si="6"/>
        <v>8.76</v>
      </c>
      <c r="H130" s="2">
        <f t="shared" si="7"/>
        <v>265</v>
      </c>
    </row>
    <row r="131" spans="1:8" x14ac:dyDescent="0.25">
      <c r="A131">
        <v>3193</v>
      </c>
      <c r="B131">
        <v>32</v>
      </c>
      <c r="C131">
        <v>41</v>
      </c>
      <c r="D131" s="2">
        <f t="shared" ref="D131:D144" si="8">(A131+3-(99-C131)*32)/5</f>
        <v>268</v>
      </c>
      <c r="F131">
        <f t="shared" ref="F131:F144" si="9">B131+1</f>
        <v>33</v>
      </c>
      <c r="G131" s="1">
        <f t="shared" ref="G131:G144" si="10">8+C131*0.02</f>
        <v>8.82</v>
      </c>
      <c r="H131" s="2">
        <f t="shared" ref="H131:H144" si="11">D131</f>
        <v>268</v>
      </c>
    </row>
    <row r="132" spans="1:8" x14ac:dyDescent="0.25">
      <c r="A132">
        <v>3151</v>
      </c>
      <c r="B132">
        <v>32</v>
      </c>
      <c r="C132">
        <v>42</v>
      </c>
      <c r="D132" s="2">
        <f t="shared" si="8"/>
        <v>266</v>
      </c>
      <c r="F132">
        <f t="shared" si="9"/>
        <v>33</v>
      </c>
      <c r="G132" s="1">
        <f t="shared" si="10"/>
        <v>8.84</v>
      </c>
      <c r="H132" s="2">
        <f t="shared" si="11"/>
        <v>266</v>
      </c>
    </row>
    <row r="133" spans="1:8" x14ac:dyDescent="0.25">
      <c r="A133">
        <v>3161</v>
      </c>
      <c r="B133">
        <v>32</v>
      </c>
      <c r="C133">
        <v>42</v>
      </c>
      <c r="D133" s="2">
        <f t="shared" si="8"/>
        <v>268</v>
      </c>
      <c r="F133">
        <f t="shared" si="9"/>
        <v>33</v>
      </c>
      <c r="G133" s="1">
        <f t="shared" si="10"/>
        <v>8.84</v>
      </c>
      <c r="H133" s="2">
        <f t="shared" si="11"/>
        <v>268</v>
      </c>
    </row>
    <row r="134" spans="1:8" x14ac:dyDescent="0.25">
      <c r="A134">
        <v>3181</v>
      </c>
      <c r="B134">
        <v>32</v>
      </c>
      <c r="C134">
        <v>42</v>
      </c>
      <c r="D134" s="2">
        <f t="shared" si="8"/>
        <v>272</v>
      </c>
      <c r="F134">
        <f t="shared" si="9"/>
        <v>33</v>
      </c>
      <c r="G134" s="1">
        <f t="shared" si="10"/>
        <v>8.84</v>
      </c>
      <c r="H134" s="2">
        <f t="shared" si="11"/>
        <v>272</v>
      </c>
    </row>
    <row r="135" spans="1:8" x14ac:dyDescent="0.25">
      <c r="A135">
        <v>3175</v>
      </c>
      <c r="B135">
        <v>33</v>
      </c>
      <c r="C135">
        <v>39</v>
      </c>
      <c r="D135" s="2">
        <f t="shared" si="8"/>
        <v>251.6</v>
      </c>
      <c r="F135">
        <f t="shared" si="9"/>
        <v>34</v>
      </c>
      <c r="G135" s="1">
        <f t="shared" si="10"/>
        <v>8.7799999999999994</v>
      </c>
      <c r="H135" s="2">
        <f t="shared" si="11"/>
        <v>251.6</v>
      </c>
    </row>
    <row r="136" spans="1:8" x14ac:dyDescent="0.25">
      <c r="A136">
        <v>3190</v>
      </c>
      <c r="B136">
        <v>33</v>
      </c>
      <c r="C136">
        <v>39</v>
      </c>
      <c r="D136" s="2">
        <f t="shared" si="8"/>
        <v>254.6</v>
      </c>
      <c r="F136">
        <f t="shared" si="9"/>
        <v>34</v>
      </c>
      <c r="G136" s="1">
        <f t="shared" si="10"/>
        <v>8.7799999999999994</v>
      </c>
      <c r="H136" s="2">
        <f t="shared" si="11"/>
        <v>254.6</v>
      </c>
    </row>
    <row r="137" spans="1:8" x14ac:dyDescent="0.25">
      <c r="A137">
        <v>3235</v>
      </c>
      <c r="B137">
        <v>33</v>
      </c>
      <c r="C137">
        <v>40</v>
      </c>
      <c r="D137" s="2">
        <f t="shared" si="8"/>
        <v>270</v>
      </c>
      <c r="F137">
        <f t="shared" si="9"/>
        <v>34</v>
      </c>
      <c r="G137" s="1">
        <f t="shared" si="10"/>
        <v>8.8000000000000007</v>
      </c>
      <c r="H137" s="2">
        <f t="shared" si="11"/>
        <v>270</v>
      </c>
    </row>
    <row r="138" spans="1:8" x14ac:dyDescent="0.25">
      <c r="A138">
        <v>3203</v>
      </c>
      <c r="B138">
        <v>33</v>
      </c>
      <c r="C138">
        <v>41</v>
      </c>
      <c r="D138" s="2">
        <f t="shared" si="8"/>
        <v>270</v>
      </c>
      <c r="F138">
        <f t="shared" si="9"/>
        <v>34</v>
      </c>
      <c r="G138" s="1">
        <f t="shared" si="10"/>
        <v>8.82</v>
      </c>
      <c r="H138" s="2">
        <f t="shared" si="11"/>
        <v>270</v>
      </c>
    </row>
    <row r="139" spans="1:8" x14ac:dyDescent="0.25">
      <c r="A139">
        <v>3255</v>
      </c>
      <c r="B139">
        <v>34</v>
      </c>
      <c r="C139">
        <v>37</v>
      </c>
      <c r="D139" s="2">
        <f t="shared" si="8"/>
        <v>254.8</v>
      </c>
      <c r="F139">
        <f t="shared" si="9"/>
        <v>35</v>
      </c>
      <c r="G139" s="1">
        <f t="shared" si="10"/>
        <v>8.74</v>
      </c>
      <c r="H139" s="2">
        <f t="shared" si="11"/>
        <v>254.8</v>
      </c>
    </row>
    <row r="140" spans="1:8" x14ac:dyDescent="0.25">
      <c r="A140">
        <v>3321</v>
      </c>
      <c r="B140">
        <v>34</v>
      </c>
      <c r="C140">
        <v>37</v>
      </c>
      <c r="D140" s="2">
        <f t="shared" si="8"/>
        <v>268</v>
      </c>
      <c r="F140">
        <f t="shared" si="9"/>
        <v>35</v>
      </c>
      <c r="G140" s="1">
        <f t="shared" si="10"/>
        <v>8.74</v>
      </c>
      <c r="H140" s="2">
        <f t="shared" si="11"/>
        <v>268</v>
      </c>
    </row>
    <row r="141" spans="1:8" x14ac:dyDescent="0.25">
      <c r="A141">
        <v>3274</v>
      </c>
      <c r="B141">
        <v>34</v>
      </c>
      <c r="C141">
        <v>38</v>
      </c>
      <c r="D141" s="2">
        <f t="shared" si="8"/>
        <v>265</v>
      </c>
      <c r="F141">
        <f t="shared" si="9"/>
        <v>35</v>
      </c>
      <c r="G141" s="1">
        <f t="shared" si="10"/>
        <v>8.76</v>
      </c>
      <c r="H141" s="2">
        <f t="shared" si="11"/>
        <v>265</v>
      </c>
    </row>
    <row r="142" spans="1:8" x14ac:dyDescent="0.25">
      <c r="A142">
        <v>3289</v>
      </c>
      <c r="B142">
        <v>34</v>
      </c>
      <c r="C142">
        <v>38</v>
      </c>
      <c r="D142" s="2">
        <f t="shared" si="8"/>
        <v>268</v>
      </c>
      <c r="F142">
        <f t="shared" si="9"/>
        <v>35</v>
      </c>
      <c r="G142" s="1">
        <f t="shared" si="10"/>
        <v>8.76</v>
      </c>
      <c r="H142" s="2">
        <f t="shared" si="11"/>
        <v>268</v>
      </c>
    </row>
    <row r="143" spans="1:8" x14ac:dyDescent="0.25">
      <c r="A143">
        <v>3407</v>
      </c>
      <c r="B143">
        <v>35</v>
      </c>
      <c r="C143">
        <v>34</v>
      </c>
      <c r="D143" s="2">
        <f t="shared" si="8"/>
        <v>266</v>
      </c>
      <c r="F143">
        <f t="shared" si="9"/>
        <v>36</v>
      </c>
      <c r="G143" s="1">
        <f t="shared" si="10"/>
        <v>8.68</v>
      </c>
      <c r="H143" s="2">
        <f t="shared" si="11"/>
        <v>266</v>
      </c>
    </row>
    <row r="144" spans="1:8" x14ac:dyDescent="0.25">
      <c r="A144">
        <v>3375</v>
      </c>
      <c r="B144">
        <v>35</v>
      </c>
      <c r="C144">
        <v>35</v>
      </c>
      <c r="D144" s="2">
        <f t="shared" si="8"/>
        <v>266</v>
      </c>
      <c r="F144">
        <f t="shared" si="9"/>
        <v>36</v>
      </c>
      <c r="G144" s="1">
        <f t="shared" si="10"/>
        <v>8.6999999999999993</v>
      </c>
      <c r="H144" s="2">
        <f t="shared" si="11"/>
        <v>266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Tze-Yuan [陳則元]</dc:creator>
  <cp:lastModifiedBy>Chen, Tze-Yuan [陳則元]</cp:lastModifiedBy>
  <dcterms:created xsi:type="dcterms:W3CDTF">2025-11-11T08:57:42Z</dcterms:created>
  <dcterms:modified xsi:type="dcterms:W3CDTF">2025-11-11T09:13:54Z</dcterms:modified>
</cp:coreProperties>
</file>